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\OneDrive - The City University of New York\Documents\Reddit Random Prob\"/>
    </mc:Choice>
  </mc:AlternateContent>
  <xr:revisionPtr revIDLastSave="9391" documentId="8_{F120EB52-2223-43DE-9716-76DBE8B241F5}" xr6:coauthVersionLast="45" xr6:coauthVersionMax="45" xr10:uidLastSave="{9FD5F4E3-2E87-4EE2-A279-CF98631BEC53}"/>
  <bookViews>
    <workbookView xWindow="15615" yWindow="1185" windowWidth="22005" windowHeight="18375" activeTab="1" xr2:uid="{6BB2701D-9527-45CE-94E3-9755379793D1}"/>
  </bookViews>
  <sheets>
    <sheet name="Part1" sheetId="2" r:id="rId1"/>
    <sheet name="Part2" sheetId="3" r:id="rId2"/>
  </sheets>
  <definedNames>
    <definedName name="solver_adj" localSheetId="0" hidden="1">Part1!$H$3:$J$12</definedName>
    <definedName name="solver_adj" localSheetId="1" hidden="1">Part2!$H$3:$I$10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Part1!$H$14</definedName>
    <definedName name="solver_lhs1" localSheetId="1" hidden="1">Part2!$H$14</definedName>
    <definedName name="solver_lhs10" localSheetId="0" hidden="1">Part1!$K$7</definedName>
    <definedName name="solver_lhs10" localSheetId="1" hidden="1">Part2!$K$7</definedName>
    <definedName name="solver_lhs11" localSheetId="0" hidden="1">Part1!$K$7</definedName>
    <definedName name="solver_lhs11" localSheetId="1" hidden="1">Part2!$K$8</definedName>
    <definedName name="solver_lhs12" localSheetId="1" hidden="1">Part2!$K$9</definedName>
    <definedName name="solver_lhs2" localSheetId="0" hidden="1">Part1!$I$14</definedName>
    <definedName name="solver_lhs2" localSheetId="1" hidden="1">Part2!$H$18</definedName>
    <definedName name="solver_lhs3" localSheetId="0" hidden="1">Part1!$J$14</definedName>
    <definedName name="solver_lhs3" localSheetId="1" hidden="1">Part2!$H$21</definedName>
    <definedName name="solver_lhs4" localSheetId="0" hidden="1">Part1!$L$3:$L$12</definedName>
    <definedName name="solver_lhs4" localSheetId="1" hidden="1">Part2!$H$22</definedName>
    <definedName name="solver_lhs5" localSheetId="0" hidden="1">Part1!$K$12</definedName>
    <definedName name="solver_lhs5" localSheetId="1" hidden="1">Part2!$K$3:$K$10</definedName>
    <definedName name="solver_lhs6" localSheetId="0" hidden="1">Part1!$K$3</definedName>
    <definedName name="solver_lhs6" localSheetId="1" hidden="1">Part2!$K$3</definedName>
    <definedName name="solver_lhs7" localSheetId="0" hidden="1">Part1!$K$4</definedName>
    <definedName name="solver_lhs7" localSheetId="1" hidden="1">Part2!$K$4</definedName>
    <definedName name="solver_lhs8" localSheetId="0" hidden="1">Part1!$K$5</definedName>
    <definedName name="solver_lhs8" localSheetId="1" hidden="1">Part2!$K$5</definedName>
    <definedName name="solver_lhs9" localSheetId="0" hidden="1">Part1!$K$6</definedName>
    <definedName name="solver_lhs9" localSheetId="1" hidden="1">Part2!$K$6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5</definedName>
    <definedName name="solver_nwt" localSheetId="0" hidden="1">1</definedName>
    <definedName name="solver_nwt" localSheetId="1" hidden="1">1</definedName>
    <definedName name="solver_opt" localSheetId="0" hidden="1">Part1!$J$24</definedName>
    <definedName name="solver_opt" localSheetId="1" hidden="1">Part2!$A$1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10" localSheetId="0" hidden="1">2</definedName>
    <definedName name="solver_rel10" localSheetId="1" hidden="1">1</definedName>
    <definedName name="solver_rel11" localSheetId="0" hidden="1">2</definedName>
    <definedName name="solver_rel11" localSheetId="1" hidden="1">1</definedName>
    <definedName name="solver_rel12" localSheetId="1" hidden="1">1</definedName>
    <definedName name="solver_rel2" localSheetId="0" hidden="1">1</definedName>
    <definedName name="solver_rel2" localSheetId="1" hidden="1">3</definedName>
    <definedName name="solver_rel3" localSheetId="0" hidden="1">1</definedName>
    <definedName name="solver_rel3" localSheetId="1" hidden="1">3</definedName>
    <definedName name="solver_rel4" localSheetId="0" hidden="1">2</definedName>
    <definedName name="solver_rel4" localSheetId="1" hidden="1">3</definedName>
    <definedName name="solver_rel5" localSheetId="0" hidden="1">1</definedName>
    <definedName name="solver_rel5" localSheetId="1" hidden="1">1</definedName>
    <definedName name="solver_rel6" localSheetId="0" hidden="1">2</definedName>
    <definedName name="solver_rel6" localSheetId="1" hidden="1">1</definedName>
    <definedName name="solver_rel7" localSheetId="0" hidden="1">2</definedName>
    <definedName name="solver_rel7" localSheetId="1" hidden="1">1</definedName>
    <definedName name="solver_rel8" localSheetId="0" hidden="1">2</definedName>
    <definedName name="solver_rel8" localSheetId="1" hidden="1">1</definedName>
    <definedName name="solver_rel9" localSheetId="0" hidden="1">2</definedName>
    <definedName name="solver_rel9" localSheetId="1" hidden="1">1</definedName>
    <definedName name="solver_rhs1" localSheetId="0" hidden="1">15000</definedName>
    <definedName name="solver_rhs1" localSheetId="1" hidden="1">30000</definedName>
    <definedName name="solver_rhs10" localSheetId="0" hidden="1">Part1!$B$7</definedName>
    <definedName name="solver_rhs10" localSheetId="1" hidden="1">Part2!$B$7</definedName>
    <definedName name="solver_rhs11" localSheetId="0" hidden="1">Part1!$B$7</definedName>
    <definedName name="solver_rhs11" localSheetId="1" hidden="1">Part2!$B$8</definedName>
    <definedName name="solver_rhs12" localSheetId="1" hidden="1">Part2!$B$9</definedName>
    <definedName name="solver_rhs2" localSheetId="0" hidden="1">20000</definedName>
    <definedName name="solver_rhs2" localSheetId="1" hidden="1">3000</definedName>
    <definedName name="solver_rhs3" localSheetId="0" hidden="1">20000</definedName>
    <definedName name="solver_rhs3" localSheetId="1" hidden="1">0</definedName>
    <definedName name="solver_rhs4" localSheetId="0" hidden="1">Part1!$B$3:$B$12</definedName>
    <definedName name="solver_rhs4" localSheetId="1" hidden="1">0</definedName>
    <definedName name="solver_rhs5" localSheetId="0" hidden="1">Part1!$B$12</definedName>
    <definedName name="solver_rhs5" localSheetId="1" hidden="1">Part2!$B$3:$B$10</definedName>
    <definedName name="solver_rhs6" localSheetId="0" hidden="1">Part1!$B$3</definedName>
    <definedName name="solver_rhs6" localSheetId="1" hidden="1">Part2!$B$3</definedName>
    <definedName name="solver_rhs7" localSheetId="0" hidden="1">Part1!$B$4</definedName>
    <definedName name="solver_rhs7" localSheetId="1" hidden="1">Part2!$B$4</definedName>
    <definedName name="solver_rhs8" localSheetId="0" hidden="1">Part1!$B$5</definedName>
    <definedName name="solver_rhs8" localSheetId="1" hidden="1">Part2!$B$5</definedName>
    <definedName name="solver_rhs9" localSheetId="0" hidden="1">Part1!$B$6</definedName>
    <definedName name="solver_rhs9" localSheetId="1" hidden="1">Part2!$B$6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3" l="1"/>
  <c r="H12" i="3"/>
  <c r="D4" i="3"/>
  <c r="D3" i="3"/>
  <c r="E10" i="3"/>
  <c r="E9" i="3"/>
  <c r="E8" i="3"/>
  <c r="E7" i="3"/>
  <c r="E6" i="3"/>
  <c r="E5" i="3"/>
  <c r="E4" i="3"/>
  <c r="H22" i="3" s="1"/>
  <c r="E3" i="3"/>
  <c r="D10" i="3"/>
  <c r="D9" i="3"/>
  <c r="D8" i="3"/>
  <c r="D7" i="3"/>
  <c r="D6" i="3"/>
  <c r="D5" i="3"/>
  <c r="H24" i="3"/>
  <c r="I12" i="3"/>
  <c r="H25" i="3" s="1"/>
  <c r="K8" i="3"/>
  <c r="K6" i="3"/>
  <c r="K5" i="3"/>
  <c r="K4" i="3"/>
  <c r="H21" i="3" l="1"/>
  <c r="H19" i="3"/>
  <c r="H18" i="3" l="1"/>
  <c r="H27" i="3" s="1"/>
  <c r="H28" i="3"/>
  <c r="H14" i="3"/>
  <c r="K10" i="3" l="1"/>
  <c r="K9" i="3"/>
  <c r="B12" i="3"/>
  <c r="K7" i="3"/>
  <c r="H15" i="3" l="1"/>
  <c r="H16" i="3" s="1"/>
  <c r="H30" i="3" s="1"/>
  <c r="L3" i="2"/>
  <c r="J14" i="2"/>
  <c r="L12" i="2"/>
  <c r="J16" i="2"/>
  <c r="L4" i="2"/>
  <c r="L5" i="2"/>
  <c r="L6" i="2"/>
  <c r="L7" i="2"/>
  <c r="L8" i="2"/>
  <c r="L9" i="2"/>
  <c r="L10" i="2"/>
  <c r="L11" i="2"/>
  <c r="H16" i="2" l="1"/>
  <c r="I16" i="2"/>
  <c r="H14" i="2"/>
  <c r="I14" i="2"/>
  <c r="H18" i="2" l="1"/>
</calcChain>
</file>

<file path=xl/sharedStrings.xml><?xml version="1.0" encoding="utf-8"?>
<sst xmlns="http://schemas.openxmlformats.org/spreadsheetml/2006/main" count="32" uniqueCount="29">
  <si>
    <t>Z</t>
  </si>
  <si>
    <t>Supplier</t>
  </si>
  <si>
    <t>Total Lbs Sent</t>
  </si>
  <si>
    <t>Cost to A</t>
  </si>
  <si>
    <t>Cost to B</t>
  </si>
  <si>
    <t>Cost to C</t>
  </si>
  <si>
    <t>Total Cost</t>
  </si>
  <si>
    <t>Total Lbs</t>
  </si>
  <si>
    <t>Sent to A</t>
  </si>
  <si>
    <t>Sent to B</t>
  </si>
  <si>
    <t>Sent to C</t>
  </si>
  <si>
    <t>Grade</t>
  </si>
  <si>
    <t>Supply</t>
  </si>
  <si>
    <t>Bags</t>
  </si>
  <si>
    <t>OJ</t>
  </si>
  <si>
    <t>total lbs used</t>
  </si>
  <si>
    <t>lbs sent to recycle</t>
  </si>
  <si>
    <t>cost of recycle</t>
  </si>
  <si>
    <t>total lbs bags made</t>
  </si>
  <si>
    <t>total lbs OJ made</t>
  </si>
  <si>
    <t>profit of bags</t>
  </si>
  <si>
    <t>profit of OJ</t>
  </si>
  <si>
    <t>quality of bags</t>
  </si>
  <si>
    <t>quality of OJ</t>
  </si>
  <si>
    <t>Grade Balance for bags</t>
  </si>
  <si>
    <t>Grade Balance for OJ</t>
  </si>
  <si>
    <t>Grade Balance Bags</t>
  </si>
  <si>
    <t>Grade Balance OJ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</si>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</sst>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2" fontId="0" fillId="2" borderId="0" xfId="0" applyNumberFormat="1" applyFill="1"/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  <color rgb="FF9966FF"/>
      <color rgb="FFF7CD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6044-EA38-42D2-906E-F9A608C39244}">
  <dimension ref="A1:L18"/>
  <sheetViews>
    <sheetView workbookViewId="0">
      <selection activeCell="I24" sqref="I24"/>
    </sheetView>
  </sheetViews>
  <sheetFormatPr defaultRowHeight="15" x14ac:dyDescent="0.25"/>
  <cols>
    <col min="1" max="1" width="8.42578125" bestFit="1" customWidth="1"/>
    <col min="2" max="2" width="13.28515625" bestFit="1" customWidth="1"/>
    <col min="3" max="3" width="8.85546875" bestFit="1" customWidth="1"/>
    <col min="4" max="5" width="8.7109375" bestFit="1" customWidth="1"/>
    <col min="6" max="6" width="9" customWidth="1"/>
    <col min="7" max="7" width="14.5703125" customWidth="1"/>
    <col min="8" max="8" width="14.7109375" customWidth="1"/>
    <col min="9" max="9" width="13.7109375" bestFit="1" customWidth="1"/>
    <col min="11" max="12" width="13.28515625" bestFit="1" customWidth="1"/>
    <col min="13" max="13" width="9.7109375" bestFit="1" customWidth="1"/>
  </cols>
  <sheetData>
    <row r="1" spans="1:12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/>
      <c r="G1" s="5"/>
      <c r="H1" s="4" t="s">
        <v>8</v>
      </c>
      <c r="I1" s="4" t="s">
        <v>9</v>
      </c>
      <c r="J1" s="4" t="s">
        <v>10</v>
      </c>
      <c r="K1" s="5"/>
      <c r="L1" s="6" t="s">
        <v>2</v>
      </c>
    </row>
    <row r="2" spans="1:12" x14ac:dyDescent="0.25">
      <c r="A2" s="4"/>
      <c r="B2" s="4"/>
      <c r="C2" s="4"/>
      <c r="D2" s="4"/>
      <c r="E2" s="4"/>
      <c r="F2" s="5"/>
      <c r="G2" s="5"/>
      <c r="H2" s="4"/>
      <c r="I2" s="4"/>
      <c r="J2" s="4"/>
      <c r="K2" s="5"/>
      <c r="L2" s="6"/>
    </row>
    <row r="3" spans="1:12" x14ac:dyDescent="0.25">
      <c r="A3" s="4">
        <v>1</v>
      </c>
      <c r="B3" s="4">
        <v>4000</v>
      </c>
      <c r="C3" s="4">
        <v>0.14000000000000001</v>
      </c>
      <c r="D3" s="4">
        <v>0.1</v>
      </c>
      <c r="E3" s="4">
        <v>0.11</v>
      </c>
      <c r="F3" s="5"/>
      <c r="G3" s="5"/>
      <c r="H3" s="4">
        <v>0</v>
      </c>
      <c r="I3" s="4">
        <v>4000</v>
      </c>
      <c r="J3" s="4">
        <v>0</v>
      </c>
      <c r="K3" s="5"/>
      <c r="L3" s="6">
        <f>SUM(H3,I3,J3)</f>
        <v>4000</v>
      </c>
    </row>
    <row r="4" spans="1:12" x14ac:dyDescent="0.25">
      <c r="A4" s="4">
        <v>2</v>
      </c>
      <c r="B4" s="4">
        <v>5000</v>
      </c>
      <c r="C4" s="4">
        <v>0.06</v>
      </c>
      <c r="D4" s="4">
        <v>0.15</v>
      </c>
      <c r="E4" s="4">
        <v>0.13</v>
      </c>
      <c r="F4" s="5"/>
      <c r="G4" s="5"/>
      <c r="H4" s="4">
        <v>5000</v>
      </c>
      <c r="I4" s="4">
        <v>0</v>
      </c>
      <c r="J4" s="4">
        <v>0</v>
      </c>
      <c r="K4" s="5"/>
      <c r="L4" s="6">
        <f>SUM(H4,I4,J4)</f>
        <v>5000</v>
      </c>
    </row>
    <row r="5" spans="1:12" x14ac:dyDescent="0.25">
      <c r="A5" s="4">
        <v>3</v>
      </c>
      <c r="B5" s="4">
        <v>9000</v>
      </c>
      <c r="C5" s="4">
        <v>0.14000000000000001</v>
      </c>
      <c r="D5" s="4">
        <v>0.1</v>
      </c>
      <c r="E5" s="4">
        <v>0.1</v>
      </c>
      <c r="F5" s="5"/>
      <c r="G5" s="5"/>
      <c r="H5" s="4">
        <v>0</v>
      </c>
      <c r="I5" s="4">
        <v>0</v>
      </c>
      <c r="J5" s="4">
        <v>9000</v>
      </c>
      <c r="K5" s="5"/>
      <c r="L5" s="6">
        <f t="shared" ref="L5:L11" si="0">SUM(H5,I5,J5)</f>
        <v>9000</v>
      </c>
    </row>
    <row r="6" spans="1:12" x14ac:dyDescent="0.25">
      <c r="A6" s="4">
        <v>4</v>
      </c>
      <c r="B6" s="4">
        <v>6000</v>
      </c>
      <c r="C6" s="4">
        <v>0.09</v>
      </c>
      <c r="D6" s="4">
        <v>0.12</v>
      </c>
      <c r="E6" s="4">
        <v>0.05</v>
      </c>
      <c r="F6" s="5"/>
      <c r="G6" s="5"/>
      <c r="H6" s="4">
        <v>0</v>
      </c>
      <c r="I6" s="4">
        <v>0</v>
      </c>
      <c r="J6" s="4">
        <v>6000</v>
      </c>
      <c r="K6" s="5"/>
      <c r="L6" s="6">
        <f t="shared" si="0"/>
        <v>6000</v>
      </c>
    </row>
    <row r="7" spans="1:12" x14ac:dyDescent="0.25">
      <c r="A7" s="4">
        <v>5</v>
      </c>
      <c r="B7" s="4">
        <v>3000</v>
      </c>
      <c r="C7" s="4">
        <v>0.09</v>
      </c>
      <c r="D7" s="4">
        <v>0.1</v>
      </c>
      <c r="E7" s="4">
        <v>0.06</v>
      </c>
      <c r="F7" s="5"/>
      <c r="G7" s="5"/>
      <c r="H7" s="4">
        <v>2500</v>
      </c>
      <c r="I7" s="4">
        <v>0</v>
      </c>
      <c r="J7" s="4">
        <v>500</v>
      </c>
      <c r="K7" s="5"/>
      <c r="L7" s="6">
        <f t="shared" si="0"/>
        <v>3000</v>
      </c>
    </row>
    <row r="8" spans="1:12" x14ac:dyDescent="0.25">
      <c r="A8" s="4">
        <v>6</v>
      </c>
      <c r="B8" s="4">
        <v>5500</v>
      </c>
      <c r="C8" s="4">
        <v>0.11</v>
      </c>
      <c r="D8" s="4">
        <v>7.0000000000000007E-2</v>
      </c>
      <c r="E8" s="4">
        <v>0.15</v>
      </c>
      <c r="F8" s="5"/>
      <c r="G8" s="5"/>
      <c r="H8" s="4">
        <v>5000</v>
      </c>
      <c r="I8" s="4">
        <v>500</v>
      </c>
      <c r="J8" s="4">
        <v>0</v>
      </c>
      <c r="K8" s="5"/>
      <c r="L8" s="6">
        <f t="shared" si="0"/>
        <v>5500</v>
      </c>
    </row>
    <row r="9" spans="1:12" x14ac:dyDescent="0.25">
      <c r="A9" s="4">
        <v>7</v>
      </c>
      <c r="B9" s="4">
        <v>4500</v>
      </c>
      <c r="C9" s="4">
        <v>0.15</v>
      </c>
      <c r="D9" s="4">
        <v>0.12</v>
      </c>
      <c r="E9" s="4">
        <v>0.1</v>
      </c>
      <c r="F9" s="5"/>
      <c r="G9" s="5"/>
      <c r="H9" s="4">
        <v>0</v>
      </c>
      <c r="I9" s="4">
        <v>0</v>
      </c>
      <c r="J9" s="4">
        <v>4500</v>
      </c>
      <c r="K9" s="5"/>
      <c r="L9" s="6">
        <f t="shared" si="0"/>
        <v>4500</v>
      </c>
    </row>
    <row r="10" spans="1:12" x14ac:dyDescent="0.25">
      <c r="A10" s="4">
        <v>8</v>
      </c>
      <c r="B10" s="4">
        <v>5000</v>
      </c>
      <c r="C10" s="4">
        <v>0.11</v>
      </c>
      <c r="D10" s="4">
        <v>0.05</v>
      </c>
      <c r="E10" s="4">
        <v>0.14000000000000001</v>
      </c>
      <c r="F10" s="5"/>
      <c r="G10" s="5"/>
      <c r="H10" s="4">
        <v>0</v>
      </c>
      <c r="I10" s="4">
        <v>5000</v>
      </c>
      <c r="J10" s="4">
        <v>0</v>
      </c>
      <c r="K10" s="5"/>
      <c r="L10" s="6">
        <f t="shared" si="0"/>
        <v>5000</v>
      </c>
    </row>
    <row r="11" spans="1:12" x14ac:dyDescent="0.25">
      <c r="A11" s="4">
        <v>9</v>
      </c>
      <c r="B11" s="4">
        <v>7000</v>
      </c>
      <c r="C11" s="4">
        <v>0.13</v>
      </c>
      <c r="D11" s="4">
        <v>0.05</v>
      </c>
      <c r="E11" s="4">
        <v>0.12</v>
      </c>
      <c r="F11" s="5"/>
      <c r="G11" s="5"/>
      <c r="H11" s="4">
        <v>0</v>
      </c>
      <c r="I11" s="4">
        <v>7000</v>
      </c>
      <c r="J11" s="4">
        <v>0</v>
      </c>
      <c r="K11" s="5"/>
      <c r="L11" s="6">
        <f t="shared" si="0"/>
        <v>7000</v>
      </c>
    </row>
    <row r="12" spans="1:12" x14ac:dyDescent="0.25">
      <c r="A12" s="4">
        <v>10</v>
      </c>
      <c r="B12" s="4">
        <v>3500</v>
      </c>
      <c r="C12" s="4">
        <v>0.13</v>
      </c>
      <c r="D12" s="4">
        <v>0.09</v>
      </c>
      <c r="E12" s="4">
        <v>0.13</v>
      </c>
      <c r="F12" s="5"/>
      <c r="G12" s="5"/>
      <c r="H12" s="4">
        <v>0</v>
      </c>
      <c r="I12" s="4">
        <v>3500</v>
      </c>
      <c r="J12" s="4">
        <v>0</v>
      </c>
      <c r="K12" s="5"/>
      <c r="L12" s="6">
        <f>SUM(H12,I12,J12)</f>
        <v>3500</v>
      </c>
    </row>
    <row r="14" spans="1:12" x14ac:dyDescent="0.25">
      <c r="G14" t="s">
        <v>7</v>
      </c>
      <c r="H14">
        <f>SUM(H3:H12)</f>
        <v>12500</v>
      </c>
      <c r="I14">
        <f>SUM(I3:I12)</f>
        <v>20000</v>
      </c>
      <c r="J14">
        <f>SUM(J3:J12)</f>
        <v>20000</v>
      </c>
    </row>
    <row r="16" spans="1:12" x14ac:dyDescent="0.25">
      <c r="G16" t="s">
        <v>6</v>
      </c>
      <c r="H16">
        <f>SUMPRODUCT(C3:C12,H3:H12)</f>
        <v>1075</v>
      </c>
      <c r="I16">
        <f>SUMPRODUCT(D3:D12,I3:I12)</f>
        <v>1350</v>
      </c>
      <c r="J16">
        <f>SUMPRODUCT(E3:E12,J3:J12)</f>
        <v>1680</v>
      </c>
    </row>
    <row r="18" spans="7:8" x14ac:dyDescent="0.25">
      <c r="G18" s="7" t="s">
        <v>0</v>
      </c>
      <c r="H18" s="7">
        <f>SUM(H16,I16,J16)</f>
        <v>4105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F205-CDC8-48D1-80DD-35CA33701BF4}">
  <dimension ref="A1:K30"/>
  <sheetViews>
    <sheetView tabSelected="1" workbookViewId="0">
      <selection activeCell="G41" sqref="G41"/>
    </sheetView>
  </sheetViews>
  <sheetFormatPr defaultRowHeight="15" x14ac:dyDescent="0.25"/>
  <cols>
    <col min="4" max="4" width="21.42578125" bestFit="1" customWidth="1"/>
    <col min="5" max="5" width="19.42578125" bestFit="1" customWidth="1"/>
    <col min="7" max="7" width="18.28515625" bestFit="1" customWidth="1"/>
    <col min="8" max="8" width="12.7109375" bestFit="1" customWidth="1"/>
  </cols>
  <sheetData>
    <row r="1" spans="1:11" x14ac:dyDescent="0.25">
      <c r="A1" s="4" t="s">
        <v>11</v>
      </c>
      <c r="B1" s="4" t="s">
        <v>12</v>
      </c>
      <c r="C1" s="4"/>
      <c r="D1" s="4" t="s">
        <v>24</v>
      </c>
      <c r="E1" s="4" t="s">
        <v>25</v>
      </c>
      <c r="H1" s="3" t="s">
        <v>13</v>
      </c>
      <c r="I1" s="3" t="s">
        <v>14</v>
      </c>
      <c r="J1" s="3"/>
      <c r="K1" s="3" t="s">
        <v>12</v>
      </c>
    </row>
    <row r="2" spans="1:11" x14ac:dyDescent="0.25">
      <c r="A2" s="4"/>
      <c r="B2" s="4"/>
      <c r="C2" s="4"/>
      <c r="D2" s="4"/>
      <c r="E2" s="4"/>
      <c r="H2" s="3"/>
      <c r="I2" s="3"/>
      <c r="J2" s="3"/>
      <c r="K2" s="3"/>
    </row>
    <row r="3" spans="1:11" x14ac:dyDescent="0.25">
      <c r="A3" s="4">
        <v>3</v>
      </c>
      <c r="B3" s="4">
        <v>6555</v>
      </c>
      <c r="C3" s="4"/>
      <c r="D3" s="4">
        <f t="shared" ref="D3:D10" si="0">A3-6</f>
        <v>-3</v>
      </c>
      <c r="E3" s="4">
        <f t="shared" ref="E3:E10" si="1">A3-7.5</f>
        <v>-4.5</v>
      </c>
      <c r="H3" s="8">
        <v>1263.1578947368428</v>
      </c>
      <c r="I3" s="3">
        <v>0</v>
      </c>
      <c r="J3" s="3"/>
      <c r="K3" s="8">
        <f t="shared" ref="K3:K10" si="2">SUM(H3:I3)</f>
        <v>1263.1578947368428</v>
      </c>
    </row>
    <row r="4" spans="1:11" x14ac:dyDescent="0.25">
      <c r="A4" s="4">
        <v>4</v>
      </c>
      <c r="B4" s="4">
        <v>2750</v>
      </c>
      <c r="C4" s="4"/>
      <c r="D4" s="4">
        <f t="shared" si="0"/>
        <v>-2</v>
      </c>
      <c r="E4" s="4">
        <f t="shared" si="1"/>
        <v>-3.5</v>
      </c>
      <c r="H4" s="3">
        <v>0</v>
      </c>
      <c r="I4" s="3">
        <v>2750</v>
      </c>
      <c r="J4" s="3"/>
      <c r="K4" s="3">
        <f t="shared" si="2"/>
        <v>2750</v>
      </c>
    </row>
    <row r="5" spans="1:11" x14ac:dyDescent="0.25">
      <c r="A5" s="4">
        <v>5</v>
      </c>
      <c r="B5" s="4">
        <v>5500</v>
      </c>
      <c r="C5" s="4"/>
      <c r="D5" s="4">
        <f t="shared" si="0"/>
        <v>-1</v>
      </c>
      <c r="E5" s="4">
        <f t="shared" si="1"/>
        <v>-2.5</v>
      </c>
      <c r="H5" s="3">
        <v>0</v>
      </c>
      <c r="I5" s="3">
        <v>5500</v>
      </c>
      <c r="J5" s="3"/>
      <c r="K5" s="3">
        <f t="shared" si="2"/>
        <v>5500</v>
      </c>
    </row>
    <row r="6" spans="1:11" x14ac:dyDescent="0.25">
      <c r="A6" s="4">
        <v>6</v>
      </c>
      <c r="B6" s="4">
        <v>6800</v>
      </c>
      <c r="C6" s="4"/>
      <c r="D6" s="4">
        <f t="shared" si="0"/>
        <v>0</v>
      </c>
      <c r="E6" s="4">
        <f t="shared" si="1"/>
        <v>-1.5</v>
      </c>
      <c r="H6" s="3">
        <v>0</v>
      </c>
      <c r="I6" s="8">
        <v>1823.0263157894728</v>
      </c>
      <c r="J6" s="3"/>
      <c r="K6" s="8">
        <f t="shared" si="2"/>
        <v>1823.0263157894728</v>
      </c>
    </row>
    <row r="7" spans="1:11" x14ac:dyDescent="0.25">
      <c r="A7" s="4">
        <v>7</v>
      </c>
      <c r="B7" s="4">
        <v>11075</v>
      </c>
      <c r="C7" s="4"/>
      <c r="D7" s="4">
        <f t="shared" si="0"/>
        <v>1</v>
      </c>
      <c r="E7" s="4">
        <f t="shared" si="1"/>
        <v>-0.5</v>
      </c>
      <c r="H7" s="3">
        <v>0</v>
      </c>
      <c r="I7" s="3">
        <v>0</v>
      </c>
      <c r="J7" s="3"/>
      <c r="K7" s="3">
        <f t="shared" si="2"/>
        <v>0</v>
      </c>
    </row>
    <row r="8" spans="1:11" x14ac:dyDescent="0.25">
      <c r="A8" s="4">
        <v>8</v>
      </c>
      <c r="B8" s="4">
        <v>7705</v>
      </c>
      <c r="C8" s="4"/>
      <c r="D8" s="4">
        <f t="shared" si="0"/>
        <v>2</v>
      </c>
      <c r="E8" s="4">
        <f t="shared" si="1"/>
        <v>0.5</v>
      </c>
      <c r="H8" s="8">
        <v>1894.736842105264</v>
      </c>
      <c r="I8" s="8">
        <v>4719.0789473684154</v>
      </c>
      <c r="J8" s="3"/>
      <c r="K8" s="8">
        <f t="shared" si="2"/>
        <v>6613.8157894736796</v>
      </c>
    </row>
    <row r="9" spans="1:11" x14ac:dyDescent="0.25">
      <c r="A9" s="4">
        <v>9</v>
      </c>
      <c r="B9" s="4">
        <v>6375</v>
      </c>
      <c r="C9" s="4"/>
      <c r="D9" s="4">
        <f t="shared" si="0"/>
        <v>3</v>
      </c>
      <c r="E9" s="4">
        <f t="shared" si="1"/>
        <v>1.5</v>
      </c>
      <c r="H9" s="3">
        <v>0</v>
      </c>
      <c r="I9" s="3">
        <v>6375</v>
      </c>
      <c r="J9" s="3"/>
      <c r="K9" s="3">
        <f t="shared" si="2"/>
        <v>6375</v>
      </c>
    </row>
    <row r="10" spans="1:11" x14ac:dyDescent="0.25">
      <c r="A10" s="4">
        <v>10</v>
      </c>
      <c r="B10" s="4">
        <v>5675</v>
      </c>
      <c r="C10" s="4"/>
      <c r="D10" s="4">
        <f t="shared" si="0"/>
        <v>4</v>
      </c>
      <c r="E10" s="4">
        <f t="shared" si="1"/>
        <v>2.5</v>
      </c>
      <c r="H10" s="3">
        <v>0</v>
      </c>
      <c r="I10" s="3">
        <v>5675</v>
      </c>
      <c r="J10" s="3"/>
      <c r="K10" s="3">
        <f t="shared" si="2"/>
        <v>5675</v>
      </c>
    </row>
    <row r="12" spans="1:11" x14ac:dyDescent="0.25">
      <c r="A12" t="s">
        <v>28</v>
      </c>
      <c r="B12">
        <f>SUM(B3:B10)</f>
        <v>52435</v>
      </c>
      <c r="H12" s="2">
        <f>SUM(H3:H10)</f>
        <v>3157.8947368421068</v>
      </c>
      <c r="I12">
        <f>SUM(I3:I10)</f>
        <v>26842.10526315789</v>
      </c>
    </row>
    <row r="14" spans="1:11" x14ac:dyDescent="0.25">
      <c r="G14" t="s">
        <v>15</v>
      </c>
      <c r="H14">
        <f>SUM(H12:I12)</f>
        <v>29999.999999999996</v>
      </c>
    </row>
    <row r="15" spans="1:11" x14ac:dyDescent="0.25">
      <c r="G15" t="s">
        <v>16</v>
      </c>
      <c r="H15">
        <f>B12-H14</f>
        <v>22435.000000000004</v>
      </c>
    </row>
    <row r="16" spans="1:11" x14ac:dyDescent="0.25">
      <c r="G16" t="s">
        <v>17</v>
      </c>
      <c r="H16">
        <f>0.1*H15</f>
        <v>2243.5000000000005</v>
      </c>
    </row>
    <row r="18" spans="7:8" x14ac:dyDescent="0.25">
      <c r="G18" t="s">
        <v>18</v>
      </c>
      <c r="H18">
        <f>0.95*H12</f>
        <v>3000.0000000000014</v>
      </c>
    </row>
    <row r="19" spans="7:8" x14ac:dyDescent="0.25">
      <c r="G19" t="s">
        <v>19</v>
      </c>
      <c r="H19" s="2">
        <f>0.6*I12</f>
        <v>16105.263157894733</v>
      </c>
    </row>
    <row r="21" spans="7:8" x14ac:dyDescent="0.25">
      <c r="G21" t="s">
        <v>26</v>
      </c>
      <c r="H21" s="1">
        <f>SUMPRODUCT(H3:H10,D3:D10)</f>
        <v>-4.5474735088646412E-13</v>
      </c>
    </row>
    <row r="22" spans="7:8" x14ac:dyDescent="0.25">
      <c r="G22" t="s">
        <v>27</v>
      </c>
      <c r="H22" s="1">
        <f>SUMPRODUCT(I3:I10,E3:E10)</f>
        <v>-3.637978807091713E-12</v>
      </c>
    </row>
    <row r="24" spans="7:8" x14ac:dyDescent="0.25">
      <c r="G24" t="s">
        <v>22</v>
      </c>
      <c r="H24">
        <f>SUMPRODUCT(A3:A10,H3:H10)/H12</f>
        <v>6</v>
      </c>
    </row>
    <row r="25" spans="7:8" x14ac:dyDescent="0.25">
      <c r="G25" t="s">
        <v>23</v>
      </c>
      <c r="H25">
        <f>SUMPRODUCT(A3:A10,I3:I10)/I12</f>
        <v>7.4999999999999991</v>
      </c>
    </row>
    <row r="27" spans="7:8" x14ac:dyDescent="0.25">
      <c r="G27" t="s">
        <v>20</v>
      </c>
      <c r="H27">
        <f>1.35*H18</f>
        <v>4050.0000000000023</v>
      </c>
    </row>
    <row r="28" spans="7:8" x14ac:dyDescent="0.25">
      <c r="G28" t="s">
        <v>21</v>
      </c>
      <c r="H28" s="2">
        <f>3.05*H19</f>
        <v>49121.052631578932</v>
      </c>
    </row>
    <row r="30" spans="7:8" x14ac:dyDescent="0.25">
      <c r="G30" s="7" t="s">
        <v>0</v>
      </c>
      <c r="H30" s="9">
        <f>(H27+H28)-H16</f>
        <v>50927.552631578932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kacherian</dc:creator>
  <cp:lastModifiedBy>JUSTIN.KACHERIAN@baruchmail.cuny.edu</cp:lastModifiedBy>
  <dcterms:created xsi:type="dcterms:W3CDTF">2020-05-06T12:47:10Z</dcterms:created>
  <dcterms:modified xsi:type="dcterms:W3CDTF">2020-11-30T13:44:33Z</dcterms:modified>
</cp:coreProperties>
</file>